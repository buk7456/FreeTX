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\rc radio project\New stuff\Beta43\doc\spreadsheets\"/>
    </mc:Choice>
  </mc:AlternateContent>
  <xr:revisionPtr revIDLastSave="0" documentId="13_ncr:1_{2F8AAEB7-BE82-40E2-B6A6-AE7371CED4E5}" xr6:coauthVersionLast="47" xr6:coauthVersionMax="47" xr10:uidLastSave="{00000000-0000-0000-0000-000000000000}"/>
  <bookViews>
    <workbookView xWindow="-108" yWindow="-108" windowWidth="19416" windowHeight="10416" xr2:uid="{8FB1116B-C55B-4822-94A7-40B176A76DD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G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C7" i="2"/>
  <c r="F7" i="2" s="1"/>
  <c r="C8" i="2"/>
  <c r="F8" i="2" s="1"/>
  <c r="C9" i="2"/>
  <c r="F9" i="2" s="1"/>
  <c r="C10" i="2"/>
  <c r="F10" i="2" s="1"/>
  <c r="C11" i="2"/>
  <c r="F11" i="2" s="1"/>
  <c r="C12" i="2"/>
  <c r="F12" i="2" s="1"/>
  <c r="C13" i="2"/>
  <c r="F13" i="2" s="1"/>
  <c r="C14" i="2"/>
  <c r="F14" i="2" s="1"/>
  <c r="C15" i="2"/>
  <c r="F15" i="2" s="1"/>
  <c r="C16" i="2"/>
  <c r="F16" i="2" s="1"/>
  <c r="C17" i="2"/>
  <c r="F17" i="2" s="1"/>
  <c r="C18" i="2"/>
  <c r="F18" i="2" s="1"/>
  <c r="C19" i="2"/>
  <c r="F19" i="2" s="1"/>
  <c r="C20" i="2"/>
  <c r="F20" i="2" s="1"/>
  <c r="C21" i="2"/>
  <c r="F21" i="2" s="1"/>
  <c r="C22" i="2"/>
  <c r="F22" i="2" s="1"/>
  <c r="C23" i="2"/>
  <c r="F23" i="2" s="1"/>
  <c r="C24" i="2"/>
  <c r="F24" i="2" s="1"/>
  <c r="C25" i="2"/>
  <c r="F25" i="2" s="1"/>
  <c r="C26" i="2"/>
  <c r="F26" i="2" s="1"/>
  <c r="C27" i="2"/>
  <c r="F27" i="2" s="1"/>
  <c r="C28" i="2"/>
  <c r="F28" i="2" s="1"/>
  <c r="C29" i="2"/>
  <c r="F29" i="2" s="1"/>
  <c r="C30" i="2"/>
  <c r="F30" i="2" s="1"/>
  <c r="C31" i="2"/>
  <c r="F31" i="2" s="1"/>
  <c r="C32" i="2"/>
  <c r="F32" i="2" s="1"/>
  <c r="C33" i="2"/>
  <c r="F33" i="2" s="1"/>
  <c r="C34" i="2"/>
  <c r="F34" i="2" s="1"/>
  <c r="C35" i="2"/>
  <c r="F35" i="2" s="1"/>
  <c r="C36" i="2"/>
  <c r="F36" i="2" s="1"/>
  <c r="D7" i="2"/>
  <c r="D8" i="2"/>
  <c r="D9" i="2"/>
  <c r="D10" i="2"/>
  <c r="G10" i="2" s="1"/>
  <c r="D11" i="2"/>
  <c r="D12" i="2"/>
  <c r="D13" i="2"/>
  <c r="D14" i="2"/>
  <c r="G14" i="2" s="1"/>
  <c r="D15" i="2"/>
  <c r="D16" i="2"/>
  <c r="D17" i="2"/>
  <c r="D18" i="2"/>
  <c r="G18" i="2" s="1"/>
  <c r="D19" i="2"/>
  <c r="D20" i="2"/>
  <c r="D21" i="2"/>
  <c r="D22" i="2"/>
  <c r="G22" i="2" s="1"/>
  <c r="D23" i="2"/>
  <c r="D24" i="2"/>
  <c r="D25" i="2"/>
  <c r="D26" i="2"/>
  <c r="G26" i="2" s="1"/>
  <c r="D27" i="2"/>
  <c r="D28" i="2"/>
  <c r="D29" i="2"/>
  <c r="D30" i="2"/>
  <c r="G30" i="2" s="1"/>
  <c r="D31" i="2"/>
  <c r="D32" i="2"/>
  <c r="D33" i="2"/>
  <c r="D34" i="2"/>
  <c r="G34" i="2" s="1"/>
  <c r="D35" i="2"/>
  <c r="D36" i="2"/>
  <c r="B6" i="2"/>
  <c r="E6" i="2"/>
  <c r="D6" i="2"/>
  <c r="C6" i="2"/>
  <c r="C3" i="2"/>
  <c r="I7" i="2" s="1"/>
  <c r="I34" i="2" l="1"/>
  <c r="I18" i="2"/>
  <c r="I30" i="2"/>
  <c r="I14" i="2"/>
  <c r="I26" i="2"/>
  <c r="I10" i="2"/>
  <c r="H6" i="2"/>
  <c r="I6" i="2"/>
  <c r="I33" i="2"/>
  <c r="I29" i="2"/>
  <c r="I25" i="2"/>
  <c r="I21" i="2"/>
  <c r="I17" i="2"/>
  <c r="I13" i="2"/>
  <c r="I9" i="2"/>
  <c r="I36" i="2"/>
  <c r="I32" i="2"/>
  <c r="I28" i="2"/>
  <c r="I24" i="2"/>
  <c r="I20" i="2"/>
  <c r="I16" i="2"/>
  <c r="I12" i="2"/>
  <c r="I8" i="2"/>
  <c r="I35" i="2"/>
  <c r="I31" i="2"/>
  <c r="I27" i="2"/>
  <c r="I23" i="2"/>
  <c r="I19" i="2"/>
  <c r="I15" i="2"/>
  <c r="I11" i="2"/>
  <c r="G33" i="2"/>
  <c r="H33" i="2" s="1"/>
  <c r="G29" i="2"/>
  <c r="H29" i="2" s="1"/>
  <c r="G25" i="2"/>
  <c r="H25" i="2" s="1"/>
  <c r="G21" i="2"/>
  <c r="H21" i="2" s="1"/>
  <c r="G17" i="2"/>
  <c r="H17" i="2" s="1"/>
  <c r="G13" i="2"/>
  <c r="H13" i="2" s="1"/>
  <c r="G9" i="2"/>
  <c r="H9" i="2" s="1"/>
  <c r="G36" i="2"/>
  <c r="H36" i="2" s="1"/>
  <c r="G32" i="2"/>
  <c r="H32" i="2" s="1"/>
  <c r="G28" i="2"/>
  <c r="H28" i="2" s="1"/>
  <c r="G24" i="2"/>
  <c r="H24" i="2" s="1"/>
  <c r="G20" i="2"/>
  <c r="H20" i="2" s="1"/>
  <c r="G16" i="2"/>
  <c r="H16" i="2" s="1"/>
  <c r="G12" i="2"/>
  <c r="H12" i="2" s="1"/>
  <c r="G8" i="2"/>
  <c r="H8" i="2" s="1"/>
  <c r="G35" i="2"/>
  <c r="H35" i="2" s="1"/>
  <c r="G31" i="2"/>
  <c r="H31" i="2" s="1"/>
  <c r="G27" i="2"/>
  <c r="H27" i="2" s="1"/>
  <c r="G23" i="2"/>
  <c r="H23" i="2" s="1"/>
  <c r="G19" i="2"/>
  <c r="H19" i="2" s="1"/>
  <c r="G15" i="2"/>
  <c r="H15" i="2" s="1"/>
  <c r="G11" i="2"/>
  <c r="H11" i="2" s="1"/>
  <c r="G7" i="2"/>
  <c r="H7" i="2" s="1"/>
  <c r="H34" i="2"/>
  <c r="H30" i="2"/>
  <c r="H26" i="2"/>
  <c r="H22" i="2"/>
  <c r="H18" i="2"/>
  <c r="H14" i="2"/>
  <c r="H10" i="2"/>
  <c r="F6" i="2"/>
</calcChain>
</file>

<file path=xl/sharedStrings.xml><?xml version="1.0" encoding="utf-8"?>
<sst xmlns="http://schemas.openxmlformats.org/spreadsheetml/2006/main" count="13" uniqueCount="13">
  <si>
    <t>Fixed loop</t>
  </si>
  <si>
    <t>Theoretical rate</t>
  </si>
  <si>
    <t>ms</t>
  </si>
  <si>
    <t>times per second</t>
  </si>
  <si>
    <t>Loops per second</t>
  </si>
  <si>
    <t>Actual rate after compensation</t>
  </si>
  <si>
    <t>Target</t>
  </si>
  <si>
    <t>Compensated repeat interval</t>
  </si>
  <si>
    <t>Desired repeat interval</t>
  </si>
  <si>
    <t>RptIntvl / FxdLp</t>
  </si>
  <si>
    <t>(int)(RptIntvl / FxdLp)</t>
  </si>
  <si>
    <t>Remainder = RptIntvl % FxdLp</t>
  </si>
  <si>
    <t>Actual rate = LPS / ((int)(RptIntvl/FxdLp)))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</si>
</sst>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0" borderId="1" xfId="0" applyBorder="1"/>
    <xf numFmtId="0" fontId="0" fillId="4" borderId="0" xfId="0" applyFill="1"/>
    <xf numFmtId="0" fontId="1" fillId="5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0" fillId="6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4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Uncompensated</a:t>
            </a:r>
            <a:r>
              <a:rPr lang="en-GB" baseline="0"/>
              <a:t> vs compensated </a:t>
            </a:r>
            <a:br>
              <a:rPr lang="en-GB" baseline="0"/>
            </a:br>
            <a:r>
              <a:rPr lang="en-GB" baseline="0"/>
              <a:t>repeat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Uncompensated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Sheet2!$A$6:$A$36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Sheet2!$F$6:$F$36</c:f>
              <c:numCache>
                <c:formatCode>General</c:formatCode>
                <c:ptCount val="31"/>
                <c:pt idx="0">
                  <c:v>5</c:v>
                </c:pt>
                <c:pt idx="1">
                  <c:v>5.2910052910052912</c:v>
                </c:pt>
                <c:pt idx="2">
                  <c:v>5.0505050505050502</c:v>
                </c:pt>
                <c:pt idx="3">
                  <c:v>5.4347826086956523</c:v>
                </c:pt>
                <c:pt idx="4">
                  <c:v>5.208333333333333</c:v>
                </c:pt>
                <c:pt idx="5">
                  <c:v>5</c:v>
                </c:pt>
                <c:pt idx="6">
                  <c:v>5.4945054945054945</c:v>
                </c:pt>
                <c:pt idx="7">
                  <c:v>5.2910052910052912</c:v>
                </c:pt>
                <c:pt idx="8">
                  <c:v>5.1020408163265305</c:v>
                </c:pt>
                <c:pt idx="9">
                  <c:v>5.7471264367816097</c:v>
                </c:pt>
                <c:pt idx="10">
                  <c:v>5.5555555555555562</c:v>
                </c:pt>
                <c:pt idx="11">
                  <c:v>5.376344086021505</c:v>
                </c:pt>
                <c:pt idx="12">
                  <c:v>5.208333333333333</c:v>
                </c:pt>
                <c:pt idx="13">
                  <c:v>5.0505050505050511</c:v>
                </c:pt>
                <c:pt idx="14">
                  <c:v>5.8823529411764701</c:v>
                </c:pt>
                <c:pt idx="15">
                  <c:v>5.7142857142857144</c:v>
                </c:pt>
                <c:pt idx="16">
                  <c:v>5.5555555555555554</c:v>
                </c:pt>
                <c:pt idx="17">
                  <c:v>5.4054054054054053</c:v>
                </c:pt>
                <c:pt idx="18">
                  <c:v>5.2631578947368416</c:v>
                </c:pt>
                <c:pt idx="19">
                  <c:v>5.1282051282051286</c:v>
                </c:pt>
                <c:pt idx="20">
                  <c:v>5</c:v>
                </c:pt>
                <c:pt idx="21">
                  <c:v>6.0975609756097562</c:v>
                </c:pt>
                <c:pt idx="22">
                  <c:v>5.9523809523809526</c:v>
                </c:pt>
                <c:pt idx="23">
                  <c:v>5.8139534883720927</c:v>
                </c:pt>
                <c:pt idx="24">
                  <c:v>5.6818181818181817</c:v>
                </c:pt>
                <c:pt idx="25">
                  <c:v>5.5555555555555554</c:v>
                </c:pt>
                <c:pt idx="26">
                  <c:v>5.4347826086956523</c:v>
                </c:pt>
                <c:pt idx="27">
                  <c:v>5.3191489361702127</c:v>
                </c:pt>
                <c:pt idx="28">
                  <c:v>5.208333333333333</c:v>
                </c:pt>
                <c:pt idx="29">
                  <c:v>5.1020408163265305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E-48E3-B9C5-6C8EDD7132A5}"/>
            </c:ext>
          </c:extLst>
        </c:ser>
        <c:ser>
          <c:idx val="1"/>
          <c:order val="1"/>
          <c:tx>
            <c:v>Compensated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Sheet2!$A$6:$A$36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Sheet2!$H$6:$H$36</c:f>
              <c:numCache>
                <c:formatCode>General</c:formatCode>
                <c:ptCount val="31"/>
                <c:pt idx="0">
                  <c:v>5</c:v>
                </c:pt>
                <c:pt idx="1">
                  <c:v>4.7619047619047619</c:v>
                </c:pt>
                <c:pt idx="2">
                  <c:v>5.0505050505050502</c:v>
                </c:pt>
                <c:pt idx="3">
                  <c:v>4.8309178743961354</c:v>
                </c:pt>
                <c:pt idx="4">
                  <c:v>5.208333333333333</c:v>
                </c:pt>
                <c:pt idx="5">
                  <c:v>5</c:v>
                </c:pt>
                <c:pt idx="6">
                  <c:v>4.8076923076923075</c:v>
                </c:pt>
                <c:pt idx="7">
                  <c:v>5.2910052910052912</c:v>
                </c:pt>
                <c:pt idx="8">
                  <c:v>5.1020408163265305</c:v>
                </c:pt>
                <c:pt idx="9">
                  <c:v>4.9261083743842367</c:v>
                </c:pt>
                <c:pt idx="10">
                  <c:v>4.7619047619047619</c:v>
                </c:pt>
                <c:pt idx="11">
                  <c:v>5.376344086021505</c:v>
                </c:pt>
                <c:pt idx="12">
                  <c:v>5.208333333333333</c:v>
                </c:pt>
                <c:pt idx="13">
                  <c:v>5.0505050505050502</c:v>
                </c:pt>
                <c:pt idx="14">
                  <c:v>4.9019607843137258</c:v>
                </c:pt>
                <c:pt idx="15">
                  <c:v>4.7619047619047619</c:v>
                </c:pt>
                <c:pt idx="16">
                  <c:v>4.6296296296296298</c:v>
                </c:pt>
                <c:pt idx="17">
                  <c:v>5.4054054054054053</c:v>
                </c:pt>
                <c:pt idx="18">
                  <c:v>5.2631578947368425</c:v>
                </c:pt>
                <c:pt idx="19">
                  <c:v>5.1282051282051286</c:v>
                </c:pt>
                <c:pt idx="20">
                  <c:v>5</c:v>
                </c:pt>
                <c:pt idx="21">
                  <c:v>4.8780487804878048</c:v>
                </c:pt>
                <c:pt idx="22">
                  <c:v>4.7619047619047619</c:v>
                </c:pt>
                <c:pt idx="23">
                  <c:v>4.6511627906976747</c:v>
                </c:pt>
                <c:pt idx="24">
                  <c:v>4.5454545454545459</c:v>
                </c:pt>
                <c:pt idx="25">
                  <c:v>5.5555555555555554</c:v>
                </c:pt>
                <c:pt idx="26">
                  <c:v>5.4347826086956523</c:v>
                </c:pt>
                <c:pt idx="27">
                  <c:v>5.3191489361702127</c:v>
                </c:pt>
                <c:pt idx="28">
                  <c:v>5.208333333333333</c:v>
                </c:pt>
                <c:pt idx="29">
                  <c:v>5.1020408163265305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E-48E3-B9C5-6C8EDD71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962800"/>
        <c:axId val="470963760"/>
      </c:barChart>
      <c:lineChart>
        <c:grouping val="standard"/>
        <c:varyColors val="0"/>
        <c:ser>
          <c:idx val="2"/>
          <c:order val="2"/>
          <c:tx>
            <c:v>Target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Sheet2!$I$6:$I$36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AE-48E3-B9C5-6C8EDD71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962800"/>
        <c:axId val="470963760"/>
      </c:lineChart>
      <c:catAx>
        <c:axId val="47096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Fixed</a:t>
                </a:r>
                <a:r>
                  <a:rPr lang="en-GB" baseline="0"/>
                  <a:t> loop time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63760"/>
        <c:crosses val="autoZero"/>
        <c:auto val="1"/>
        <c:lblAlgn val="ctr"/>
        <c:lblOffset val="100"/>
        <c:noMultiLvlLbl val="0"/>
      </c:catAx>
      <c:valAx>
        <c:axId val="47096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Repeate</a:t>
                </a:r>
                <a:r>
                  <a:rPr lang="en-GB" baseline="0"/>
                  <a:t> rate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96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407893</xdr:colOff>
      <xdr:row>2</xdr:row>
      <xdr:rowOff>170330</xdr:rowOff>
    </xdr:from>
    <xdr:to>
      <xdr:col>17</xdr:col>
      <xdr:colOff>600635</xdr:colOff>
      <xdr:row>20</xdr:row>
      <xdr:rowOff>134471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B47C9C-A495-229D-301F-6DDFA3F30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A984-54FE-42AA-B6D2-DE14EF70E1F6}">
  <dimension ref="A2:I36"/>
  <sheetViews>
    <sheetView tabSelected="1" zoomScale="85" zoomScaleNormal="85" workbookViewId="0"/>
  </sheetViews>
  <sheetFormatPr defaultRowHeight="14.4" x14ac:dyDescent="0.3"/>
  <cols>
    <col min="1" max="1" width="9" customWidth="1"/>
    <col min="2" max="2" width="15" customWidth="1"/>
    <col min="3" max="3" width="11.5546875" customWidth="1"/>
    <col min="4" max="4" width="12.6640625" customWidth="1"/>
    <col min="5" max="5" width="9.6640625" customWidth="1"/>
    <col min="6" max="6" width="21.6640625" customWidth="1"/>
    <col min="7" max="7" width="13.21875" customWidth="1"/>
    <col min="8" max="8" width="13.77734375" customWidth="1"/>
    <col min="10" max="10" width="23.109375" customWidth="1"/>
  </cols>
  <sheetData>
    <row r="2" spans="1:9" x14ac:dyDescent="0.3">
      <c r="A2" t="s">
        <v>8</v>
      </c>
      <c r="C2" s="1">
        <v>200</v>
      </c>
      <c r="D2" t="s">
        <v>2</v>
      </c>
    </row>
    <row r="3" spans="1:9" x14ac:dyDescent="0.3">
      <c r="A3" t="s">
        <v>1</v>
      </c>
      <c r="C3" s="3">
        <f>1000/C2</f>
        <v>5</v>
      </c>
      <c r="D3" t="s">
        <v>3</v>
      </c>
    </row>
    <row r="5" spans="1:9" ht="48" customHeight="1" x14ac:dyDescent="0.3">
      <c r="A5" s="4" t="s">
        <v>0</v>
      </c>
      <c r="B5" s="4" t="s">
        <v>9</v>
      </c>
      <c r="C5" s="4" t="s">
        <v>10</v>
      </c>
      <c r="D5" s="4" t="s">
        <v>11</v>
      </c>
      <c r="E5" s="4" t="s">
        <v>4</v>
      </c>
      <c r="F5" s="4" t="s">
        <v>12</v>
      </c>
      <c r="G5" s="5" t="s">
        <v>7</v>
      </c>
      <c r="H5" s="5" t="s">
        <v>5</v>
      </c>
      <c r="I5" s="9" t="s">
        <v>6</v>
      </c>
    </row>
    <row r="6" spans="1:9" x14ac:dyDescent="0.3">
      <c r="A6" s="2">
        <v>20</v>
      </c>
      <c r="B6" s="2">
        <f t="shared" ref="B6:B36" si="0">$C$2/A6</f>
        <v>10</v>
      </c>
      <c r="C6" s="2">
        <f t="shared" ref="C6:C36" si="1">QUOTIENT($C$2,A6)</f>
        <v>10</v>
      </c>
      <c r="D6" s="2">
        <f t="shared" ref="D6:D36" si="2">MOD($C$2,A6)</f>
        <v>0</v>
      </c>
      <c r="E6" s="2">
        <f>1000/A6</f>
        <v>50</v>
      </c>
      <c r="F6" s="6">
        <f>E6/C6</f>
        <v>5</v>
      </c>
      <c r="G6" s="8">
        <f t="shared" ref="G6:G36" si="3">$C$2+D6</f>
        <v>200</v>
      </c>
      <c r="H6" s="7">
        <f>1000/(A6*QUOTIENT(G6,A6))</f>
        <v>5</v>
      </c>
      <c r="I6" s="2">
        <f>$C$3</f>
        <v>5</v>
      </c>
    </row>
    <row r="7" spans="1:9" x14ac:dyDescent="0.3">
      <c r="A7" s="2">
        <v>21</v>
      </c>
      <c r="B7" s="2">
        <f t="shared" si="0"/>
        <v>9.5238095238095237</v>
      </c>
      <c r="C7" s="2">
        <f t="shared" si="1"/>
        <v>9</v>
      </c>
      <c r="D7" s="2">
        <f t="shared" si="2"/>
        <v>11</v>
      </c>
      <c r="E7" s="2">
        <f t="shared" ref="E7:E36" si="4">1000/A7</f>
        <v>47.61904761904762</v>
      </c>
      <c r="F7" s="6">
        <f t="shared" ref="F7:F36" si="5">E7/C7</f>
        <v>5.2910052910052912</v>
      </c>
      <c r="G7" s="8">
        <f t="shared" si="3"/>
        <v>211</v>
      </c>
      <c r="H7" s="7">
        <f t="shared" ref="H7:H36" si="6">1000/(A7*QUOTIENT(G7,A7))</f>
        <v>4.7619047619047619</v>
      </c>
      <c r="I7" s="2">
        <f t="shared" ref="I7:I36" si="7">$C$3</f>
        <v>5</v>
      </c>
    </row>
    <row r="8" spans="1:9" x14ac:dyDescent="0.3">
      <c r="A8" s="2">
        <v>22</v>
      </c>
      <c r="B8" s="2">
        <f t="shared" si="0"/>
        <v>9.0909090909090917</v>
      </c>
      <c r="C8" s="2">
        <f t="shared" si="1"/>
        <v>9</v>
      </c>
      <c r="D8" s="2">
        <f t="shared" si="2"/>
        <v>2</v>
      </c>
      <c r="E8" s="2">
        <f t="shared" si="4"/>
        <v>45.454545454545453</v>
      </c>
      <c r="F8" s="6">
        <f t="shared" si="5"/>
        <v>5.0505050505050502</v>
      </c>
      <c r="G8" s="8">
        <f t="shared" si="3"/>
        <v>202</v>
      </c>
      <c r="H8" s="7">
        <f t="shared" si="6"/>
        <v>5.0505050505050502</v>
      </c>
      <c r="I8" s="2">
        <f t="shared" si="7"/>
        <v>5</v>
      </c>
    </row>
    <row r="9" spans="1:9" x14ac:dyDescent="0.3">
      <c r="A9" s="2">
        <v>23</v>
      </c>
      <c r="B9" s="2">
        <f t="shared" si="0"/>
        <v>8.695652173913043</v>
      </c>
      <c r="C9" s="2">
        <f t="shared" si="1"/>
        <v>8</v>
      </c>
      <c r="D9" s="2">
        <f t="shared" si="2"/>
        <v>16</v>
      </c>
      <c r="E9" s="2">
        <f t="shared" si="4"/>
        <v>43.478260869565219</v>
      </c>
      <c r="F9" s="6">
        <f t="shared" si="5"/>
        <v>5.4347826086956523</v>
      </c>
      <c r="G9" s="8">
        <f t="shared" si="3"/>
        <v>216</v>
      </c>
      <c r="H9" s="7">
        <f t="shared" si="6"/>
        <v>4.8309178743961354</v>
      </c>
      <c r="I9" s="2">
        <f t="shared" si="7"/>
        <v>5</v>
      </c>
    </row>
    <row r="10" spans="1:9" x14ac:dyDescent="0.3">
      <c r="A10" s="2">
        <v>24</v>
      </c>
      <c r="B10" s="2">
        <f t="shared" si="0"/>
        <v>8.3333333333333339</v>
      </c>
      <c r="C10" s="2">
        <f t="shared" si="1"/>
        <v>8</v>
      </c>
      <c r="D10" s="2">
        <f t="shared" si="2"/>
        <v>8</v>
      </c>
      <c r="E10" s="2">
        <f t="shared" si="4"/>
        <v>41.666666666666664</v>
      </c>
      <c r="F10" s="6">
        <f t="shared" si="5"/>
        <v>5.208333333333333</v>
      </c>
      <c r="G10" s="8">
        <f t="shared" si="3"/>
        <v>208</v>
      </c>
      <c r="H10" s="7">
        <f t="shared" si="6"/>
        <v>5.208333333333333</v>
      </c>
      <c r="I10" s="2">
        <f t="shared" si="7"/>
        <v>5</v>
      </c>
    </row>
    <row r="11" spans="1:9" x14ac:dyDescent="0.3">
      <c r="A11" s="2">
        <v>25</v>
      </c>
      <c r="B11" s="2">
        <f t="shared" si="0"/>
        <v>8</v>
      </c>
      <c r="C11" s="2">
        <f t="shared" si="1"/>
        <v>8</v>
      </c>
      <c r="D11" s="2">
        <f t="shared" si="2"/>
        <v>0</v>
      </c>
      <c r="E11" s="2">
        <f t="shared" si="4"/>
        <v>40</v>
      </c>
      <c r="F11" s="6">
        <f t="shared" si="5"/>
        <v>5</v>
      </c>
      <c r="G11" s="8">
        <f t="shared" si="3"/>
        <v>200</v>
      </c>
      <c r="H11" s="7">
        <f t="shared" si="6"/>
        <v>5</v>
      </c>
      <c r="I11" s="2">
        <f t="shared" si="7"/>
        <v>5</v>
      </c>
    </row>
    <row r="12" spans="1:9" x14ac:dyDescent="0.3">
      <c r="A12" s="2">
        <v>26</v>
      </c>
      <c r="B12" s="2">
        <f t="shared" si="0"/>
        <v>7.6923076923076925</v>
      </c>
      <c r="C12" s="2">
        <f t="shared" si="1"/>
        <v>7</v>
      </c>
      <c r="D12" s="2">
        <f t="shared" si="2"/>
        <v>18</v>
      </c>
      <c r="E12" s="2">
        <f t="shared" si="4"/>
        <v>38.46153846153846</v>
      </c>
      <c r="F12" s="6">
        <f t="shared" si="5"/>
        <v>5.4945054945054945</v>
      </c>
      <c r="G12" s="8">
        <f t="shared" si="3"/>
        <v>218</v>
      </c>
      <c r="H12" s="7">
        <f t="shared" si="6"/>
        <v>4.8076923076923075</v>
      </c>
      <c r="I12" s="2">
        <f t="shared" si="7"/>
        <v>5</v>
      </c>
    </row>
    <row r="13" spans="1:9" x14ac:dyDescent="0.3">
      <c r="A13" s="2">
        <v>27</v>
      </c>
      <c r="B13" s="2">
        <f t="shared" si="0"/>
        <v>7.4074074074074074</v>
      </c>
      <c r="C13" s="2">
        <f t="shared" si="1"/>
        <v>7</v>
      </c>
      <c r="D13" s="2">
        <f t="shared" si="2"/>
        <v>11</v>
      </c>
      <c r="E13" s="2">
        <f t="shared" si="4"/>
        <v>37.037037037037038</v>
      </c>
      <c r="F13" s="6">
        <f t="shared" si="5"/>
        <v>5.2910052910052912</v>
      </c>
      <c r="G13" s="8">
        <f t="shared" si="3"/>
        <v>211</v>
      </c>
      <c r="H13" s="7">
        <f t="shared" si="6"/>
        <v>5.2910052910052912</v>
      </c>
      <c r="I13" s="2">
        <f t="shared" si="7"/>
        <v>5</v>
      </c>
    </row>
    <row r="14" spans="1:9" x14ac:dyDescent="0.3">
      <c r="A14" s="2">
        <v>28</v>
      </c>
      <c r="B14" s="2">
        <f t="shared" si="0"/>
        <v>7.1428571428571432</v>
      </c>
      <c r="C14" s="2">
        <f t="shared" si="1"/>
        <v>7</v>
      </c>
      <c r="D14" s="2">
        <f t="shared" si="2"/>
        <v>4</v>
      </c>
      <c r="E14" s="2">
        <f t="shared" si="4"/>
        <v>35.714285714285715</v>
      </c>
      <c r="F14" s="6">
        <f t="shared" si="5"/>
        <v>5.1020408163265305</v>
      </c>
      <c r="G14" s="8">
        <f t="shared" si="3"/>
        <v>204</v>
      </c>
      <c r="H14" s="7">
        <f t="shared" si="6"/>
        <v>5.1020408163265305</v>
      </c>
      <c r="I14" s="2">
        <f t="shared" si="7"/>
        <v>5</v>
      </c>
    </row>
    <row r="15" spans="1:9" x14ac:dyDescent="0.3">
      <c r="A15" s="2">
        <v>29</v>
      </c>
      <c r="B15" s="2">
        <f t="shared" si="0"/>
        <v>6.8965517241379306</v>
      </c>
      <c r="C15" s="2">
        <f t="shared" si="1"/>
        <v>6</v>
      </c>
      <c r="D15" s="2">
        <f t="shared" si="2"/>
        <v>26</v>
      </c>
      <c r="E15" s="2">
        <f t="shared" si="4"/>
        <v>34.482758620689658</v>
      </c>
      <c r="F15" s="6">
        <f t="shared" si="5"/>
        <v>5.7471264367816097</v>
      </c>
      <c r="G15" s="8">
        <f t="shared" si="3"/>
        <v>226</v>
      </c>
      <c r="H15" s="7">
        <f t="shared" si="6"/>
        <v>4.9261083743842367</v>
      </c>
      <c r="I15" s="2">
        <f t="shared" si="7"/>
        <v>5</v>
      </c>
    </row>
    <row r="16" spans="1:9" x14ac:dyDescent="0.3">
      <c r="A16" s="2">
        <v>30</v>
      </c>
      <c r="B16" s="2">
        <f t="shared" si="0"/>
        <v>6.666666666666667</v>
      </c>
      <c r="C16" s="2">
        <f t="shared" si="1"/>
        <v>6</v>
      </c>
      <c r="D16" s="2">
        <f t="shared" si="2"/>
        <v>20</v>
      </c>
      <c r="E16" s="2">
        <f t="shared" si="4"/>
        <v>33.333333333333336</v>
      </c>
      <c r="F16" s="6">
        <f t="shared" si="5"/>
        <v>5.5555555555555562</v>
      </c>
      <c r="G16" s="8">
        <f t="shared" si="3"/>
        <v>220</v>
      </c>
      <c r="H16" s="7">
        <f t="shared" si="6"/>
        <v>4.7619047619047619</v>
      </c>
      <c r="I16" s="2">
        <f t="shared" si="7"/>
        <v>5</v>
      </c>
    </row>
    <row r="17" spans="1:9" x14ac:dyDescent="0.3">
      <c r="A17" s="2">
        <v>31</v>
      </c>
      <c r="B17" s="2">
        <f t="shared" si="0"/>
        <v>6.4516129032258061</v>
      </c>
      <c r="C17" s="2">
        <f t="shared" si="1"/>
        <v>6</v>
      </c>
      <c r="D17" s="2">
        <f t="shared" si="2"/>
        <v>14</v>
      </c>
      <c r="E17" s="2">
        <f t="shared" si="4"/>
        <v>32.258064516129032</v>
      </c>
      <c r="F17" s="6">
        <f t="shared" si="5"/>
        <v>5.376344086021505</v>
      </c>
      <c r="G17" s="8">
        <f t="shared" si="3"/>
        <v>214</v>
      </c>
      <c r="H17" s="7">
        <f t="shared" si="6"/>
        <v>5.376344086021505</v>
      </c>
      <c r="I17" s="2">
        <f t="shared" si="7"/>
        <v>5</v>
      </c>
    </row>
    <row r="18" spans="1:9" x14ac:dyDescent="0.3">
      <c r="A18" s="2">
        <v>32</v>
      </c>
      <c r="B18" s="2">
        <f t="shared" si="0"/>
        <v>6.25</v>
      </c>
      <c r="C18" s="2">
        <f t="shared" si="1"/>
        <v>6</v>
      </c>
      <c r="D18" s="2">
        <f t="shared" si="2"/>
        <v>8</v>
      </c>
      <c r="E18" s="2">
        <f t="shared" si="4"/>
        <v>31.25</v>
      </c>
      <c r="F18" s="6">
        <f t="shared" si="5"/>
        <v>5.208333333333333</v>
      </c>
      <c r="G18" s="8">
        <f t="shared" si="3"/>
        <v>208</v>
      </c>
      <c r="H18" s="7">
        <f t="shared" si="6"/>
        <v>5.208333333333333</v>
      </c>
      <c r="I18" s="2">
        <f t="shared" si="7"/>
        <v>5</v>
      </c>
    </row>
    <row r="19" spans="1:9" x14ac:dyDescent="0.3">
      <c r="A19" s="2">
        <v>33</v>
      </c>
      <c r="B19" s="2">
        <f t="shared" si="0"/>
        <v>6.0606060606060606</v>
      </c>
      <c r="C19" s="2">
        <f t="shared" si="1"/>
        <v>6</v>
      </c>
      <c r="D19" s="2">
        <f t="shared" si="2"/>
        <v>2</v>
      </c>
      <c r="E19" s="2">
        <f t="shared" si="4"/>
        <v>30.303030303030305</v>
      </c>
      <c r="F19" s="6">
        <f t="shared" si="5"/>
        <v>5.0505050505050511</v>
      </c>
      <c r="G19" s="8">
        <f t="shared" si="3"/>
        <v>202</v>
      </c>
      <c r="H19" s="7">
        <f t="shared" si="6"/>
        <v>5.0505050505050502</v>
      </c>
      <c r="I19" s="2">
        <f t="shared" si="7"/>
        <v>5</v>
      </c>
    </row>
    <row r="20" spans="1:9" x14ac:dyDescent="0.3">
      <c r="A20" s="2">
        <v>34</v>
      </c>
      <c r="B20" s="2">
        <f t="shared" si="0"/>
        <v>5.882352941176471</v>
      </c>
      <c r="C20" s="2">
        <f t="shared" si="1"/>
        <v>5</v>
      </c>
      <c r="D20" s="2">
        <f t="shared" si="2"/>
        <v>30</v>
      </c>
      <c r="E20" s="2">
        <f t="shared" si="4"/>
        <v>29.411764705882351</v>
      </c>
      <c r="F20" s="6">
        <f t="shared" si="5"/>
        <v>5.8823529411764701</v>
      </c>
      <c r="G20" s="8">
        <f t="shared" si="3"/>
        <v>230</v>
      </c>
      <c r="H20" s="7">
        <f t="shared" si="6"/>
        <v>4.9019607843137258</v>
      </c>
      <c r="I20" s="2">
        <f t="shared" si="7"/>
        <v>5</v>
      </c>
    </row>
    <row r="21" spans="1:9" x14ac:dyDescent="0.3">
      <c r="A21" s="2">
        <v>35</v>
      </c>
      <c r="B21" s="2">
        <f t="shared" si="0"/>
        <v>5.7142857142857144</v>
      </c>
      <c r="C21" s="2">
        <f t="shared" si="1"/>
        <v>5</v>
      </c>
      <c r="D21" s="2">
        <f t="shared" si="2"/>
        <v>25</v>
      </c>
      <c r="E21" s="2">
        <f t="shared" si="4"/>
        <v>28.571428571428573</v>
      </c>
      <c r="F21" s="6">
        <f t="shared" si="5"/>
        <v>5.7142857142857144</v>
      </c>
      <c r="G21" s="8">
        <f t="shared" si="3"/>
        <v>225</v>
      </c>
      <c r="H21" s="7">
        <f t="shared" si="6"/>
        <v>4.7619047619047619</v>
      </c>
      <c r="I21" s="2">
        <f t="shared" si="7"/>
        <v>5</v>
      </c>
    </row>
    <row r="22" spans="1:9" x14ac:dyDescent="0.3">
      <c r="A22" s="2">
        <v>36</v>
      </c>
      <c r="B22" s="2">
        <f t="shared" si="0"/>
        <v>5.5555555555555554</v>
      </c>
      <c r="C22" s="2">
        <f t="shared" si="1"/>
        <v>5</v>
      </c>
      <c r="D22" s="2">
        <f t="shared" si="2"/>
        <v>20</v>
      </c>
      <c r="E22" s="2">
        <f t="shared" si="4"/>
        <v>27.777777777777779</v>
      </c>
      <c r="F22" s="6">
        <f t="shared" si="5"/>
        <v>5.5555555555555554</v>
      </c>
      <c r="G22" s="8">
        <f t="shared" si="3"/>
        <v>220</v>
      </c>
      <c r="H22" s="7">
        <f t="shared" si="6"/>
        <v>4.6296296296296298</v>
      </c>
      <c r="I22" s="2">
        <f t="shared" si="7"/>
        <v>5</v>
      </c>
    </row>
    <row r="23" spans="1:9" x14ac:dyDescent="0.3">
      <c r="A23" s="2">
        <v>37</v>
      </c>
      <c r="B23" s="2">
        <f t="shared" si="0"/>
        <v>5.4054054054054053</v>
      </c>
      <c r="C23" s="2">
        <f t="shared" si="1"/>
        <v>5</v>
      </c>
      <c r="D23" s="2">
        <f t="shared" si="2"/>
        <v>15</v>
      </c>
      <c r="E23" s="2">
        <f t="shared" si="4"/>
        <v>27.027027027027028</v>
      </c>
      <c r="F23" s="6">
        <f t="shared" si="5"/>
        <v>5.4054054054054053</v>
      </c>
      <c r="G23" s="8">
        <f t="shared" si="3"/>
        <v>215</v>
      </c>
      <c r="H23" s="7">
        <f t="shared" si="6"/>
        <v>5.4054054054054053</v>
      </c>
      <c r="I23" s="2">
        <f t="shared" si="7"/>
        <v>5</v>
      </c>
    </row>
    <row r="24" spans="1:9" x14ac:dyDescent="0.3">
      <c r="A24" s="2">
        <v>38</v>
      </c>
      <c r="B24" s="2">
        <f t="shared" si="0"/>
        <v>5.2631578947368425</v>
      </c>
      <c r="C24" s="2">
        <f t="shared" si="1"/>
        <v>5</v>
      </c>
      <c r="D24" s="2">
        <f t="shared" si="2"/>
        <v>10</v>
      </c>
      <c r="E24" s="2">
        <f t="shared" si="4"/>
        <v>26.315789473684209</v>
      </c>
      <c r="F24" s="6">
        <f t="shared" si="5"/>
        <v>5.2631578947368416</v>
      </c>
      <c r="G24" s="8">
        <f t="shared" si="3"/>
        <v>210</v>
      </c>
      <c r="H24" s="7">
        <f t="shared" si="6"/>
        <v>5.2631578947368425</v>
      </c>
      <c r="I24" s="2">
        <f t="shared" si="7"/>
        <v>5</v>
      </c>
    </row>
    <row r="25" spans="1:9" x14ac:dyDescent="0.3">
      <c r="A25" s="2">
        <v>39</v>
      </c>
      <c r="B25" s="2">
        <f t="shared" si="0"/>
        <v>5.1282051282051286</v>
      </c>
      <c r="C25" s="2">
        <f t="shared" si="1"/>
        <v>5</v>
      </c>
      <c r="D25" s="2">
        <f t="shared" si="2"/>
        <v>5</v>
      </c>
      <c r="E25" s="2">
        <f t="shared" si="4"/>
        <v>25.641025641025642</v>
      </c>
      <c r="F25" s="6">
        <f t="shared" si="5"/>
        <v>5.1282051282051286</v>
      </c>
      <c r="G25" s="8">
        <f t="shared" si="3"/>
        <v>205</v>
      </c>
      <c r="H25" s="7">
        <f t="shared" si="6"/>
        <v>5.1282051282051286</v>
      </c>
      <c r="I25" s="2">
        <f t="shared" si="7"/>
        <v>5</v>
      </c>
    </row>
    <row r="26" spans="1:9" x14ac:dyDescent="0.3">
      <c r="A26" s="2">
        <v>40</v>
      </c>
      <c r="B26" s="2">
        <f t="shared" si="0"/>
        <v>5</v>
      </c>
      <c r="C26" s="2">
        <f t="shared" si="1"/>
        <v>5</v>
      </c>
      <c r="D26" s="2">
        <f t="shared" si="2"/>
        <v>0</v>
      </c>
      <c r="E26" s="2">
        <f t="shared" si="4"/>
        <v>25</v>
      </c>
      <c r="F26" s="6">
        <f t="shared" si="5"/>
        <v>5</v>
      </c>
      <c r="G26" s="8">
        <f t="shared" si="3"/>
        <v>200</v>
      </c>
      <c r="H26" s="7">
        <f t="shared" si="6"/>
        <v>5</v>
      </c>
      <c r="I26" s="2">
        <f t="shared" si="7"/>
        <v>5</v>
      </c>
    </row>
    <row r="27" spans="1:9" x14ac:dyDescent="0.3">
      <c r="A27" s="2">
        <v>41</v>
      </c>
      <c r="B27" s="2">
        <f t="shared" si="0"/>
        <v>4.8780487804878048</v>
      </c>
      <c r="C27" s="2">
        <f t="shared" si="1"/>
        <v>4</v>
      </c>
      <c r="D27" s="2">
        <f t="shared" si="2"/>
        <v>36</v>
      </c>
      <c r="E27" s="2">
        <f t="shared" si="4"/>
        <v>24.390243902439025</v>
      </c>
      <c r="F27" s="6">
        <f t="shared" si="5"/>
        <v>6.0975609756097562</v>
      </c>
      <c r="G27" s="8">
        <f t="shared" si="3"/>
        <v>236</v>
      </c>
      <c r="H27" s="7">
        <f t="shared" si="6"/>
        <v>4.8780487804878048</v>
      </c>
      <c r="I27" s="2">
        <f t="shared" si="7"/>
        <v>5</v>
      </c>
    </row>
    <row r="28" spans="1:9" x14ac:dyDescent="0.3">
      <c r="A28" s="2">
        <v>42</v>
      </c>
      <c r="B28" s="2">
        <f t="shared" si="0"/>
        <v>4.7619047619047619</v>
      </c>
      <c r="C28" s="2">
        <f t="shared" si="1"/>
        <v>4</v>
      </c>
      <c r="D28" s="2">
        <f t="shared" si="2"/>
        <v>32</v>
      </c>
      <c r="E28" s="2">
        <f t="shared" si="4"/>
        <v>23.80952380952381</v>
      </c>
      <c r="F28" s="6">
        <f t="shared" si="5"/>
        <v>5.9523809523809526</v>
      </c>
      <c r="G28" s="8">
        <f t="shared" si="3"/>
        <v>232</v>
      </c>
      <c r="H28" s="7">
        <f t="shared" si="6"/>
        <v>4.7619047619047619</v>
      </c>
      <c r="I28" s="2">
        <f t="shared" si="7"/>
        <v>5</v>
      </c>
    </row>
    <row r="29" spans="1:9" x14ac:dyDescent="0.3">
      <c r="A29" s="2">
        <v>43</v>
      </c>
      <c r="B29" s="2">
        <f t="shared" si="0"/>
        <v>4.6511627906976747</v>
      </c>
      <c r="C29" s="2">
        <f t="shared" si="1"/>
        <v>4</v>
      </c>
      <c r="D29" s="2">
        <f t="shared" si="2"/>
        <v>28</v>
      </c>
      <c r="E29" s="2">
        <f t="shared" si="4"/>
        <v>23.255813953488371</v>
      </c>
      <c r="F29" s="6">
        <f t="shared" si="5"/>
        <v>5.8139534883720927</v>
      </c>
      <c r="G29" s="8">
        <f t="shared" si="3"/>
        <v>228</v>
      </c>
      <c r="H29" s="7">
        <f t="shared" si="6"/>
        <v>4.6511627906976747</v>
      </c>
      <c r="I29" s="2">
        <f t="shared" si="7"/>
        <v>5</v>
      </c>
    </row>
    <row r="30" spans="1:9" x14ac:dyDescent="0.3">
      <c r="A30" s="2">
        <v>44</v>
      </c>
      <c r="B30" s="2">
        <f t="shared" si="0"/>
        <v>4.5454545454545459</v>
      </c>
      <c r="C30" s="2">
        <f t="shared" si="1"/>
        <v>4</v>
      </c>
      <c r="D30" s="2">
        <f t="shared" si="2"/>
        <v>24</v>
      </c>
      <c r="E30" s="2">
        <f t="shared" si="4"/>
        <v>22.727272727272727</v>
      </c>
      <c r="F30" s="6">
        <f t="shared" si="5"/>
        <v>5.6818181818181817</v>
      </c>
      <c r="G30" s="8">
        <f t="shared" si="3"/>
        <v>224</v>
      </c>
      <c r="H30" s="7">
        <f t="shared" si="6"/>
        <v>4.5454545454545459</v>
      </c>
      <c r="I30" s="2">
        <f t="shared" si="7"/>
        <v>5</v>
      </c>
    </row>
    <row r="31" spans="1:9" x14ac:dyDescent="0.3">
      <c r="A31" s="2">
        <v>45</v>
      </c>
      <c r="B31" s="2">
        <f t="shared" si="0"/>
        <v>4.4444444444444446</v>
      </c>
      <c r="C31" s="2">
        <f t="shared" si="1"/>
        <v>4</v>
      </c>
      <c r="D31" s="2">
        <f t="shared" si="2"/>
        <v>20</v>
      </c>
      <c r="E31" s="2">
        <f t="shared" si="4"/>
        <v>22.222222222222221</v>
      </c>
      <c r="F31" s="6">
        <f t="shared" si="5"/>
        <v>5.5555555555555554</v>
      </c>
      <c r="G31" s="8">
        <f t="shared" si="3"/>
        <v>220</v>
      </c>
      <c r="H31" s="7">
        <f t="shared" si="6"/>
        <v>5.5555555555555554</v>
      </c>
      <c r="I31" s="2">
        <f t="shared" si="7"/>
        <v>5</v>
      </c>
    </row>
    <row r="32" spans="1:9" x14ac:dyDescent="0.3">
      <c r="A32" s="2">
        <v>46</v>
      </c>
      <c r="B32" s="2">
        <f t="shared" si="0"/>
        <v>4.3478260869565215</v>
      </c>
      <c r="C32" s="2">
        <f t="shared" si="1"/>
        <v>4</v>
      </c>
      <c r="D32" s="2">
        <f t="shared" si="2"/>
        <v>16</v>
      </c>
      <c r="E32" s="2">
        <f t="shared" si="4"/>
        <v>21.739130434782609</v>
      </c>
      <c r="F32" s="6">
        <f t="shared" si="5"/>
        <v>5.4347826086956523</v>
      </c>
      <c r="G32" s="8">
        <f t="shared" si="3"/>
        <v>216</v>
      </c>
      <c r="H32" s="7">
        <f t="shared" si="6"/>
        <v>5.4347826086956523</v>
      </c>
      <c r="I32" s="2">
        <f t="shared" si="7"/>
        <v>5</v>
      </c>
    </row>
    <row r="33" spans="1:9" x14ac:dyDescent="0.3">
      <c r="A33" s="2">
        <v>47</v>
      </c>
      <c r="B33" s="2">
        <f t="shared" si="0"/>
        <v>4.2553191489361701</v>
      </c>
      <c r="C33" s="2">
        <f t="shared" si="1"/>
        <v>4</v>
      </c>
      <c r="D33" s="2">
        <f t="shared" si="2"/>
        <v>12</v>
      </c>
      <c r="E33" s="2">
        <f t="shared" si="4"/>
        <v>21.276595744680851</v>
      </c>
      <c r="F33" s="6">
        <f t="shared" si="5"/>
        <v>5.3191489361702127</v>
      </c>
      <c r="G33" s="8">
        <f t="shared" si="3"/>
        <v>212</v>
      </c>
      <c r="H33" s="7">
        <f t="shared" si="6"/>
        <v>5.3191489361702127</v>
      </c>
      <c r="I33" s="2">
        <f t="shared" si="7"/>
        <v>5</v>
      </c>
    </row>
    <row r="34" spans="1:9" x14ac:dyDescent="0.3">
      <c r="A34" s="2">
        <v>48</v>
      </c>
      <c r="B34" s="2">
        <f t="shared" si="0"/>
        <v>4.166666666666667</v>
      </c>
      <c r="C34" s="2">
        <f t="shared" si="1"/>
        <v>4</v>
      </c>
      <c r="D34" s="2">
        <f t="shared" si="2"/>
        <v>8</v>
      </c>
      <c r="E34" s="2">
        <f t="shared" si="4"/>
        <v>20.833333333333332</v>
      </c>
      <c r="F34" s="6">
        <f t="shared" si="5"/>
        <v>5.208333333333333</v>
      </c>
      <c r="G34" s="8">
        <f t="shared" si="3"/>
        <v>208</v>
      </c>
      <c r="H34" s="7">
        <f t="shared" si="6"/>
        <v>5.208333333333333</v>
      </c>
      <c r="I34" s="2">
        <f t="shared" si="7"/>
        <v>5</v>
      </c>
    </row>
    <row r="35" spans="1:9" x14ac:dyDescent="0.3">
      <c r="A35" s="2">
        <v>49</v>
      </c>
      <c r="B35" s="2">
        <f t="shared" si="0"/>
        <v>4.0816326530612246</v>
      </c>
      <c r="C35" s="2">
        <f t="shared" si="1"/>
        <v>4</v>
      </c>
      <c r="D35" s="2">
        <f t="shared" si="2"/>
        <v>4</v>
      </c>
      <c r="E35" s="2">
        <f t="shared" si="4"/>
        <v>20.408163265306122</v>
      </c>
      <c r="F35" s="6">
        <f t="shared" si="5"/>
        <v>5.1020408163265305</v>
      </c>
      <c r="G35" s="8">
        <f t="shared" si="3"/>
        <v>204</v>
      </c>
      <c r="H35" s="7">
        <f t="shared" si="6"/>
        <v>5.1020408163265305</v>
      </c>
      <c r="I35" s="2">
        <f t="shared" si="7"/>
        <v>5</v>
      </c>
    </row>
    <row r="36" spans="1:9" x14ac:dyDescent="0.3">
      <c r="A36" s="2">
        <v>50</v>
      </c>
      <c r="B36" s="2">
        <f t="shared" si="0"/>
        <v>4</v>
      </c>
      <c r="C36" s="2">
        <f t="shared" si="1"/>
        <v>4</v>
      </c>
      <c r="D36" s="2">
        <f t="shared" si="2"/>
        <v>0</v>
      </c>
      <c r="E36" s="2">
        <f t="shared" si="4"/>
        <v>20</v>
      </c>
      <c r="F36" s="6">
        <f t="shared" si="5"/>
        <v>5</v>
      </c>
      <c r="G36" s="8">
        <f t="shared" si="3"/>
        <v>200</v>
      </c>
      <c r="H36" s="7">
        <f t="shared" si="6"/>
        <v>5</v>
      </c>
      <c r="I36" s="2">
        <f t="shared" si="7"/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</dc:creator>
  <cp:lastModifiedBy>Buk</cp:lastModifiedBy>
  <dcterms:created xsi:type="dcterms:W3CDTF">2026-10-18T11:42:57Z</dcterms:created>
  <dcterms:modified xsi:type="dcterms:W3CDTF">2026-10-18T15:15:48Z</dcterms:modified>
</cp:coreProperties>
</file>